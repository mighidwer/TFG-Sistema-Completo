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79a4c21ed1471e8/Escritorio/GITT/TFG/Codigo/Recursos/"/>
    </mc:Choice>
  </mc:AlternateContent>
  <xr:revisionPtr revIDLastSave="1" documentId="13_ncr:1_{277EA52A-B322-43FE-89A3-575FEC0F60D4}" xr6:coauthVersionLast="47" xr6:coauthVersionMax="47" xr10:uidLastSave="{049D7467-0FE7-4529-ADBF-BFC793316E3E}"/>
  <bookViews>
    <workbookView xWindow="-108" yWindow="-108" windowWidth="23256" windowHeight="12456" xr2:uid="{00000000-000D-0000-FFFF-FFFF00000000}"/>
  </bookViews>
  <sheets>
    <sheet name="Coordenada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</calcChain>
</file>

<file path=xl/sharedStrings.xml><?xml version="1.0" encoding="utf-8"?>
<sst xmlns="http://schemas.openxmlformats.org/spreadsheetml/2006/main" count="105" uniqueCount="75">
  <si>
    <t>NOMBRE</t>
  </si>
  <si>
    <t>LATITUD</t>
  </si>
  <si>
    <t>LONGITUD</t>
  </si>
  <si>
    <t>COORDENADAS</t>
  </si>
  <si>
    <t>DIRECCIÓN</t>
  </si>
  <si>
    <t>C. Calatrava, 2, Casco Antiguo, 41002 Sevilla</t>
  </si>
  <si>
    <t>C/ de Sta. Clara, 32, Casco Antiguo, 41002 Sevilla</t>
  </si>
  <si>
    <t>Alimentación Super Bazar</t>
  </si>
  <si>
    <t>C. Amor de Dios, 64, Casco Antiguo, 41002 Sevilla</t>
  </si>
  <si>
    <t>Jesús del Gran Poder, 43, Casco Antiguo, 41002 Sevilla</t>
  </si>
  <si>
    <t>Bazar y Alimentación Mundo</t>
  </si>
  <si>
    <t>C. Regina, 20, Casco Antiguo, 41003 Sevilla</t>
  </si>
  <si>
    <t>Alimentación Supermas</t>
  </si>
  <si>
    <t>Bazar Alimentación Mini Market</t>
  </si>
  <si>
    <t>Alimentación y Bazar</t>
  </si>
  <si>
    <t>Jesús del Gran Poder, 6, Casco Antiguo, 41002 Sevilla</t>
  </si>
  <si>
    <t>C-Market</t>
  </si>
  <si>
    <t>C. Feria, 18, Casco Antiguo, 41003 Sevilla</t>
  </si>
  <si>
    <t>Mini Market Asiático</t>
  </si>
  <si>
    <t>C. Méndez Núñez, 15, Casco Antiguo, 41001 Sevilla</t>
  </si>
  <si>
    <t>PrimaPrix Sevilla Sagasta</t>
  </si>
  <si>
    <t>C. Sagasta, 16, b, Casco Antiguo, 41004 Sevilla</t>
  </si>
  <si>
    <t>Tienda Alimentación María Auxiliadora</t>
  </si>
  <si>
    <t>C. San Vicente, 80, Casco Antiguo, 41002 Sevilla</t>
  </si>
  <si>
    <t>Gran Bazar</t>
  </si>
  <si>
    <t>C. Canalejas, 8, Casco Antiguo, 41001 Sevilla</t>
  </si>
  <si>
    <t>Alimentación Conchi</t>
  </si>
  <si>
    <t>C. Arfe, 22, Casco Antiguo, 41001 Sevilla</t>
  </si>
  <si>
    <t>Alimentación Ultramarinos Caliche</t>
  </si>
  <si>
    <t>C. Rodrigo Caro, 10, Casco Antiguo, 41004 Sevilla</t>
  </si>
  <si>
    <t>Alimentación Juan José</t>
  </si>
  <si>
    <t>C. María Auxiliadora, 10, 41003 Sevilla</t>
  </si>
  <si>
    <t>Supermercado Alimentación &amp; Bazar</t>
  </si>
  <si>
    <t>Calle Menendez Pelayo, 46, 41003 Sevilla</t>
  </si>
  <si>
    <t>Alimentación Bazar SOL</t>
  </si>
  <si>
    <t>Pl. de los Terceros, 10, Casco Antiguo, 41003 Sevilla</t>
  </si>
  <si>
    <t>Supermercado Spar Sevilla</t>
  </si>
  <si>
    <t>Supermercado Vecino</t>
  </si>
  <si>
    <t>Av. de Cádiz, 4, B, 41004 Sevilla</t>
  </si>
  <si>
    <t>C. San Fernando, 35, Casco Antiguo, 41004 Sevilla</t>
  </si>
  <si>
    <t>Alimentación Petri</t>
  </si>
  <si>
    <t>C. San Bernardo, 25, 41018 Sevilla</t>
  </si>
  <si>
    <t>Tienda Vending Murillo Sevilla</t>
  </si>
  <si>
    <t>C. Miguel Mañara, 2, Casco Antiguo, 41004 Sevilla</t>
  </si>
  <si>
    <t>Suma San Benito</t>
  </si>
  <si>
    <t>C. Luis Montoto, 46, 41018 Sevilla</t>
  </si>
  <si>
    <t>Minimarket Hernando Colón</t>
  </si>
  <si>
    <t>C. Hernando Colón, 36, Casco Antiguo, 41004 Sevilla</t>
  </si>
  <si>
    <t>Bazar Alimentación</t>
  </si>
  <si>
    <t>Supermercado Hong Xiang</t>
  </si>
  <si>
    <t>C. Muñoz y Pabón, 15, Casco Antiguo, 41004 Sevilla</t>
  </si>
  <si>
    <t>Bazar Arjona Ying Ying</t>
  </si>
  <si>
    <t>C. Arjona, 22, Casco Antiguo, 41001 Sevilla</t>
  </si>
  <si>
    <t>La Coriana</t>
  </si>
  <si>
    <t>C. Goles, 47, Casco Antiguo, 41002 Sevilla</t>
  </si>
  <si>
    <t>C. Gravina, 2, Casco Antiguo, 41001 Sevilla</t>
  </si>
  <si>
    <t>Bazar Supermercado</t>
  </si>
  <si>
    <t>C. Alfonso XII, 23, Casco Antiguo, 41001 Sevilla</t>
  </si>
  <si>
    <t>C. Cardenal Spínola, 26, Casco Antiguo, 41002 Sevilla</t>
  </si>
  <si>
    <t>Bazar Alimentación - Supermarket</t>
  </si>
  <si>
    <t>Tienda Supercor Stop &amp; Go</t>
  </si>
  <si>
    <t>C. Torneo, 70, Casco Antiguo, 41002 Sevilla</t>
  </si>
  <si>
    <t>Minimarket ASUN</t>
  </si>
  <si>
    <t>Puente del Cristo de la Expiración, 1, Casco Antiguo, 41001 Sevilla</t>
  </si>
  <si>
    <t>TIPO</t>
  </si>
  <si>
    <t>Mediana</t>
  </si>
  <si>
    <t>Pequeña</t>
  </si>
  <si>
    <t>Grande</t>
  </si>
  <si>
    <t>Muy Pequeña</t>
  </si>
  <si>
    <t>Muy Grande</t>
  </si>
  <si>
    <t>OFICINA</t>
  </si>
  <si>
    <t>C. Don Alonso el Sabio, 8, Casco Antiguo, 41004 Sevilla</t>
  </si>
  <si>
    <t>Oficina</t>
  </si>
  <si>
    <t>RECUENTO TIPOS DE TIENDA</t>
  </si>
  <si>
    <t>Alimentación Casa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</si>
</sst>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5" fontId="0" fillId="2" borderId="11" xfId="0" applyNumberFormat="1" applyFill="1" applyBorder="1" applyAlignment="1">
      <alignment horizontal="center" vertical="center"/>
    </xf>
    <xf numFmtId="165" fontId="0" fillId="2" borderId="16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65" fontId="0" fillId="4" borderId="18" xfId="0" applyNumberFormat="1" applyFill="1" applyBorder="1" applyAlignment="1">
      <alignment horizontal="center" vertical="center"/>
    </xf>
    <xf numFmtId="165" fontId="0" fillId="4" borderId="19" xfId="0" applyNumberFormat="1" applyFill="1" applyBorder="1" applyAlignment="1">
      <alignment horizontal="center" vertical="center"/>
    </xf>
    <xf numFmtId="0" fontId="0" fillId="2" borderId="15" xfId="0" applyFill="1" applyBorder="1"/>
    <xf numFmtId="0" fontId="0" fillId="2" borderId="16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1" fillId="3" borderId="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D0B3-6570-4EF9-9BD4-47C3BD672D1E}">
  <dimension ref="B1:I35"/>
  <sheetViews>
    <sheetView tabSelected="1" workbookViewId="0">
      <selection activeCell="H15" sqref="H15"/>
    </sheetView>
  </sheetViews>
  <sheetFormatPr baseColWidth="10" defaultRowHeight="14.4" x14ac:dyDescent="0.3"/>
  <cols>
    <col min="1" max="1" width="2.77734375" customWidth="1"/>
    <col min="2" max="2" width="33.33203125" customWidth="1"/>
    <col min="3" max="3" width="55.5546875" customWidth="1"/>
    <col min="4" max="4" width="14.44140625" customWidth="1"/>
    <col min="5" max="6" width="20" customWidth="1"/>
    <col min="7" max="7" width="7.77734375" customWidth="1"/>
    <col min="8" max="9" width="12.77734375" customWidth="1"/>
  </cols>
  <sheetData>
    <row r="1" spans="2:9" ht="15" thickBot="1" x14ac:dyDescent="0.35"/>
    <row r="2" spans="2:9" ht="16.8" thickTop="1" thickBot="1" x14ac:dyDescent="0.35">
      <c r="B2" s="27" t="s">
        <v>0</v>
      </c>
      <c r="C2" s="29" t="s">
        <v>4</v>
      </c>
      <c r="D2" s="27" t="s">
        <v>64</v>
      </c>
      <c r="E2" s="31" t="s">
        <v>3</v>
      </c>
      <c r="F2" s="32"/>
    </row>
    <row r="3" spans="2:9" ht="16.8" thickTop="1" thickBot="1" x14ac:dyDescent="0.35">
      <c r="B3" s="28"/>
      <c r="C3" s="30"/>
      <c r="D3" s="28"/>
      <c r="E3" s="13" t="s">
        <v>1</v>
      </c>
      <c r="F3" s="10" t="s">
        <v>2</v>
      </c>
    </row>
    <row r="4" spans="2:9" ht="15.6" thickTop="1" thickBot="1" x14ac:dyDescent="0.35">
      <c r="B4" s="17" t="s">
        <v>70</v>
      </c>
      <c r="C4" s="18" t="s">
        <v>71</v>
      </c>
      <c r="D4" s="18" t="s">
        <v>72</v>
      </c>
      <c r="E4" s="19">
        <v>37.391133718671199</v>
      </c>
      <c r="F4" s="20">
        <v>-5.9914907664431896</v>
      </c>
      <c r="H4" s="33" t="s">
        <v>73</v>
      </c>
      <c r="I4" s="34"/>
    </row>
    <row r="5" spans="2:9" ht="15" thickTop="1" x14ac:dyDescent="0.3">
      <c r="B5" s="14" t="s">
        <v>14</v>
      </c>
      <c r="C5" s="9" t="s">
        <v>5</v>
      </c>
      <c r="D5" s="9" t="s">
        <v>65</v>
      </c>
      <c r="E5" s="15">
        <v>37.401125128905299</v>
      </c>
      <c r="F5" s="16">
        <v>-5.9936951010955601</v>
      </c>
      <c r="H5" s="21" t="s">
        <v>68</v>
      </c>
      <c r="I5" s="22">
        <f>COUNTIF($D:$D,H5)</f>
        <v>6</v>
      </c>
    </row>
    <row r="6" spans="2:9" x14ac:dyDescent="0.3">
      <c r="B6" s="1" t="s">
        <v>34</v>
      </c>
      <c r="C6" s="2" t="s">
        <v>35</v>
      </c>
      <c r="D6" s="2" t="s">
        <v>67</v>
      </c>
      <c r="E6" s="11">
        <v>37.393816191405598</v>
      </c>
      <c r="F6" s="12">
        <v>-5.9880138561129703</v>
      </c>
      <c r="H6" s="23" t="s">
        <v>66</v>
      </c>
      <c r="I6" s="24">
        <f t="shared" ref="I6:I9" si="0">COUNTIF($D:$D,H6)</f>
        <v>7</v>
      </c>
    </row>
    <row r="7" spans="2:9" x14ac:dyDescent="0.3">
      <c r="B7" s="1" t="s">
        <v>74</v>
      </c>
      <c r="C7" s="2" t="s">
        <v>55</v>
      </c>
      <c r="D7" s="2" t="s">
        <v>66</v>
      </c>
      <c r="E7" s="3">
        <v>37.3932008440677</v>
      </c>
      <c r="F7" s="4">
        <v>-6.0012085202060401</v>
      </c>
      <c r="H7" s="23" t="s">
        <v>65</v>
      </c>
      <c r="I7" s="24">
        <f t="shared" si="0"/>
        <v>7</v>
      </c>
    </row>
    <row r="8" spans="2:9" x14ac:dyDescent="0.3">
      <c r="B8" s="1" t="s">
        <v>26</v>
      </c>
      <c r="C8" s="2" t="s">
        <v>27</v>
      </c>
      <c r="D8" s="2" t="s">
        <v>68</v>
      </c>
      <c r="E8" s="3">
        <v>37.385857581637502</v>
      </c>
      <c r="F8" s="4">
        <v>-5.9959024160957703</v>
      </c>
      <c r="H8" s="23" t="s">
        <v>67</v>
      </c>
      <c r="I8" s="24">
        <f t="shared" si="0"/>
        <v>6</v>
      </c>
    </row>
    <row r="9" spans="2:9" ht="15" thickBot="1" x14ac:dyDescent="0.35">
      <c r="B9" s="1" t="s">
        <v>30</v>
      </c>
      <c r="C9" s="2" t="s">
        <v>31</v>
      </c>
      <c r="D9" s="2" t="s">
        <v>66</v>
      </c>
      <c r="E9" s="3">
        <v>37.395024889706299</v>
      </c>
      <c r="F9" s="4">
        <v>-5.9828573535718501</v>
      </c>
      <c r="H9" s="25" t="s">
        <v>69</v>
      </c>
      <c r="I9" s="26">
        <f t="shared" si="0"/>
        <v>4</v>
      </c>
    </row>
    <row r="10" spans="2:9" ht="15" thickTop="1" x14ac:dyDescent="0.3">
      <c r="B10" s="1" t="s">
        <v>40</v>
      </c>
      <c r="C10" s="2" t="s">
        <v>41</v>
      </c>
      <c r="D10" s="2" t="s">
        <v>66</v>
      </c>
      <c r="E10" s="3">
        <v>37.383052913549903</v>
      </c>
      <c r="F10" s="4">
        <v>-5.9832208244836496</v>
      </c>
    </row>
    <row r="11" spans="2:9" x14ac:dyDescent="0.3">
      <c r="B11" s="1" t="s">
        <v>7</v>
      </c>
      <c r="C11" s="2" t="s">
        <v>8</v>
      </c>
      <c r="D11" s="2" t="s">
        <v>67</v>
      </c>
      <c r="E11" s="3">
        <v>37.3968297992825</v>
      </c>
      <c r="F11" s="4">
        <v>-5.99353416406694</v>
      </c>
    </row>
    <row r="12" spans="2:9" x14ac:dyDescent="0.3">
      <c r="B12" s="1" t="s">
        <v>12</v>
      </c>
      <c r="C12" s="2" t="s">
        <v>9</v>
      </c>
      <c r="D12" s="2" t="s">
        <v>66</v>
      </c>
      <c r="E12" s="3">
        <v>37.396540031037098</v>
      </c>
      <c r="F12" s="4">
        <v>-5.9954687006265397</v>
      </c>
    </row>
    <row r="13" spans="2:9" x14ac:dyDescent="0.3">
      <c r="B13" s="1" t="s">
        <v>28</v>
      </c>
      <c r="C13" s="2" t="s">
        <v>29</v>
      </c>
      <c r="D13" s="2" t="s">
        <v>68</v>
      </c>
      <c r="E13" s="3">
        <v>37.385611315542199</v>
      </c>
      <c r="F13" s="4">
        <v>-5.9907935925692604</v>
      </c>
    </row>
    <row r="14" spans="2:9" x14ac:dyDescent="0.3">
      <c r="B14" s="1" t="s">
        <v>48</v>
      </c>
      <c r="C14" s="2" t="s">
        <v>6</v>
      </c>
      <c r="D14" s="2" t="s">
        <v>66</v>
      </c>
      <c r="E14" s="3">
        <v>37.399937928481499</v>
      </c>
      <c r="F14" s="4">
        <v>-5.9964510798482804</v>
      </c>
    </row>
    <row r="15" spans="2:9" x14ac:dyDescent="0.3">
      <c r="B15" s="1" t="s">
        <v>59</v>
      </c>
      <c r="C15" s="2" t="s">
        <v>58</v>
      </c>
      <c r="D15" s="2" t="s">
        <v>68</v>
      </c>
      <c r="E15" s="3">
        <v>37.396715727863302</v>
      </c>
      <c r="F15" s="4">
        <v>-5.99683688476249</v>
      </c>
    </row>
    <row r="16" spans="2:9" x14ac:dyDescent="0.3">
      <c r="B16" s="1" t="s">
        <v>13</v>
      </c>
      <c r="C16" s="2" t="s">
        <v>15</v>
      </c>
      <c r="D16" s="2" t="s">
        <v>65</v>
      </c>
      <c r="E16" s="3">
        <v>37.394036479265303</v>
      </c>
      <c r="F16" s="4">
        <v>-5.9959164592735803</v>
      </c>
    </row>
    <row r="17" spans="2:6" x14ac:dyDescent="0.3">
      <c r="B17" s="1" t="s">
        <v>51</v>
      </c>
      <c r="C17" s="2" t="s">
        <v>52</v>
      </c>
      <c r="D17" s="2" t="s">
        <v>65</v>
      </c>
      <c r="E17" s="3">
        <v>37.388190353204202</v>
      </c>
      <c r="F17" s="4">
        <v>-6.0023771635376999</v>
      </c>
    </row>
    <row r="18" spans="2:6" x14ac:dyDescent="0.3">
      <c r="B18" s="1" t="s">
        <v>56</v>
      </c>
      <c r="C18" s="2" t="s">
        <v>57</v>
      </c>
      <c r="D18" s="2" t="s">
        <v>68</v>
      </c>
      <c r="E18" s="3">
        <v>37.392924181227201</v>
      </c>
      <c r="F18" s="4">
        <v>-5.9984163926381298</v>
      </c>
    </row>
    <row r="19" spans="2:6" x14ac:dyDescent="0.3">
      <c r="B19" s="1" t="s">
        <v>10</v>
      </c>
      <c r="C19" s="2" t="s">
        <v>11</v>
      </c>
      <c r="D19" s="2" t="s">
        <v>67</v>
      </c>
      <c r="E19" s="3">
        <v>37.394992518585497</v>
      </c>
      <c r="F19" s="4">
        <v>-5.9912959419245002</v>
      </c>
    </row>
    <row r="20" spans="2:6" x14ac:dyDescent="0.3">
      <c r="B20" s="1" t="s">
        <v>16</v>
      </c>
      <c r="C20" s="2" t="s">
        <v>17</v>
      </c>
      <c r="D20" s="2" t="s">
        <v>67</v>
      </c>
      <c r="E20" s="3">
        <v>37.3966971894205</v>
      </c>
      <c r="F20" s="4">
        <v>-5.9911356011749799</v>
      </c>
    </row>
    <row r="21" spans="2:6" x14ac:dyDescent="0.3">
      <c r="B21" s="1" t="s">
        <v>24</v>
      </c>
      <c r="C21" s="2" t="s">
        <v>25</v>
      </c>
      <c r="D21" s="2" t="s">
        <v>69</v>
      </c>
      <c r="E21" s="3">
        <v>37.3907683079549</v>
      </c>
      <c r="F21" s="4">
        <v>-5.9995145043465197</v>
      </c>
    </row>
    <row r="22" spans="2:6" x14ac:dyDescent="0.3">
      <c r="B22" s="1" t="s">
        <v>53</v>
      </c>
      <c r="C22" s="2" t="s">
        <v>54</v>
      </c>
      <c r="D22" s="2" t="s">
        <v>68</v>
      </c>
      <c r="E22" s="3">
        <v>37.395937962792097</v>
      </c>
      <c r="F22" s="4">
        <v>-6.0010981180641503</v>
      </c>
    </row>
    <row r="23" spans="2:6" x14ac:dyDescent="0.3">
      <c r="B23" s="1" t="s">
        <v>18</v>
      </c>
      <c r="C23" s="2" t="s">
        <v>19</v>
      </c>
      <c r="D23" s="2" t="s">
        <v>65</v>
      </c>
      <c r="E23" s="3">
        <v>37.389241913212203</v>
      </c>
      <c r="F23" s="4">
        <v>-5.9963932182760802</v>
      </c>
    </row>
    <row r="24" spans="2:6" x14ac:dyDescent="0.3">
      <c r="B24" s="1" t="s">
        <v>62</v>
      </c>
      <c r="C24" s="2" t="s">
        <v>63</v>
      </c>
      <c r="D24" s="2" t="s">
        <v>65</v>
      </c>
      <c r="E24" s="3">
        <v>37.390376740039898</v>
      </c>
      <c r="F24" s="4">
        <v>-6.0032685846090299</v>
      </c>
    </row>
    <row r="25" spans="2:6" x14ac:dyDescent="0.3">
      <c r="B25" s="1" t="s">
        <v>46</v>
      </c>
      <c r="C25" s="2" t="s">
        <v>47</v>
      </c>
      <c r="D25" s="2" t="s">
        <v>66</v>
      </c>
      <c r="E25" s="3">
        <v>37.387104959323104</v>
      </c>
      <c r="F25" s="4">
        <v>-5.9934386933270902</v>
      </c>
    </row>
    <row r="26" spans="2:6" x14ac:dyDescent="0.3">
      <c r="B26" s="1" t="s">
        <v>20</v>
      </c>
      <c r="C26" s="2" t="s">
        <v>21</v>
      </c>
      <c r="D26" s="2" t="s">
        <v>69</v>
      </c>
      <c r="E26" s="3">
        <v>37.390211582735198</v>
      </c>
      <c r="F26" s="4">
        <v>-5.9937772527337101</v>
      </c>
    </row>
    <row r="27" spans="2:6" x14ac:dyDescent="0.3">
      <c r="B27" s="1" t="s">
        <v>44</v>
      </c>
      <c r="C27" s="2" t="s">
        <v>45</v>
      </c>
      <c r="D27" s="2" t="s">
        <v>69</v>
      </c>
      <c r="E27" s="3">
        <v>37.387463628852501</v>
      </c>
      <c r="F27" s="4">
        <v>-5.9799056575008303</v>
      </c>
    </row>
    <row r="28" spans="2:6" x14ac:dyDescent="0.3">
      <c r="B28" s="1" t="s">
        <v>32</v>
      </c>
      <c r="C28" s="2" t="s">
        <v>33</v>
      </c>
      <c r="D28" s="2" t="s">
        <v>65</v>
      </c>
      <c r="E28" s="3">
        <v>37.386753179321502</v>
      </c>
      <c r="F28" s="4">
        <v>-5.9852315619871304</v>
      </c>
    </row>
    <row r="29" spans="2:6" x14ac:dyDescent="0.3">
      <c r="B29" s="1" t="s">
        <v>49</v>
      </c>
      <c r="C29" s="2" t="s">
        <v>50</v>
      </c>
      <c r="D29" s="2" t="s">
        <v>67</v>
      </c>
      <c r="E29" s="3">
        <v>37.388661861752297</v>
      </c>
      <c r="F29" s="4">
        <v>-5.9897812525680498</v>
      </c>
    </row>
    <row r="30" spans="2:6" x14ac:dyDescent="0.3">
      <c r="B30" s="1" t="s">
        <v>36</v>
      </c>
      <c r="C30" s="2" t="s">
        <v>39</v>
      </c>
      <c r="D30" s="2" t="s">
        <v>69</v>
      </c>
      <c r="E30" s="3">
        <v>37.381672454428397</v>
      </c>
      <c r="F30" s="4">
        <v>-5.99008217453959</v>
      </c>
    </row>
    <row r="31" spans="2:6" x14ac:dyDescent="0.3">
      <c r="B31" s="1" t="s">
        <v>37</v>
      </c>
      <c r="C31" s="2" t="s">
        <v>38</v>
      </c>
      <c r="D31" s="2" t="s">
        <v>67</v>
      </c>
      <c r="E31" s="3">
        <v>37.382603829819899</v>
      </c>
      <c r="F31" s="4">
        <v>-5.9862673571930696</v>
      </c>
    </row>
    <row r="32" spans="2:6" x14ac:dyDescent="0.3">
      <c r="B32" s="1" t="s">
        <v>22</v>
      </c>
      <c r="C32" s="2" t="s">
        <v>23</v>
      </c>
      <c r="D32" s="2" t="s">
        <v>68</v>
      </c>
      <c r="E32" s="3">
        <v>37.398400815652998</v>
      </c>
      <c r="F32" s="4">
        <v>-5.9985554780385604</v>
      </c>
    </row>
    <row r="33" spans="2:6" x14ac:dyDescent="0.3">
      <c r="B33" s="1" t="s">
        <v>60</v>
      </c>
      <c r="C33" s="2" t="s">
        <v>61</v>
      </c>
      <c r="D33" s="2" t="s">
        <v>65</v>
      </c>
      <c r="E33" s="3">
        <v>37.394872341941898</v>
      </c>
      <c r="F33" s="4">
        <v>-6.0025081836902903</v>
      </c>
    </row>
    <row r="34" spans="2:6" ht="15" thickBot="1" x14ac:dyDescent="0.35">
      <c r="B34" s="5" t="s">
        <v>42</v>
      </c>
      <c r="C34" s="6" t="s">
        <v>43</v>
      </c>
      <c r="D34" s="6" t="s">
        <v>66</v>
      </c>
      <c r="E34" s="7">
        <v>37.384333653551899</v>
      </c>
      <c r="F34" s="8">
        <v>-5.9923934320461898</v>
      </c>
    </row>
    <row r="35" spans="2:6" ht="15" thickTop="1" x14ac:dyDescent="0.3"/>
  </sheetData>
  <mergeCells count="5">
    <mergeCell ref="B2:B3"/>
    <mergeCell ref="C2:C3"/>
    <mergeCell ref="E2:F2"/>
    <mergeCell ref="D2:D3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Hidalgo Wert</dc:creator>
  <cp:lastModifiedBy>Miguel Hidalgo Wert</cp:lastModifiedBy>
  <dcterms:created xsi:type="dcterms:W3CDTF">2015-06-05T18:17:20Z</dcterms:created>
  <dcterms:modified xsi:type="dcterms:W3CDTF">2026-01-15T12:13:51Z</dcterms:modified>
</cp:coreProperties>
</file>